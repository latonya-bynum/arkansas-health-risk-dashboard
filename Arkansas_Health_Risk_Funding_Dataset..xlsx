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Arkansas\Clean\"/>
    </mc:Choice>
  </mc:AlternateContent>
  <xr:revisionPtr revIDLastSave="0" documentId="13_ncr:1_{49E072E4-1D4B-412D-9F3B-ABDFEFF280C9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Sample_Data" sheetId="1" r:id="rId1"/>
    <sheet name="Data_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2" i="1"/>
</calcChain>
</file>

<file path=xl/sharedStrings.xml><?xml version="1.0" encoding="utf-8"?>
<sst xmlns="http://schemas.openxmlformats.org/spreadsheetml/2006/main" count="141" uniqueCount="127">
  <si>
    <t>County</t>
  </si>
  <si>
    <t>Arkansas</t>
  </si>
  <si>
    <t>Ashley</t>
  </si>
  <si>
    <t>Baxter</t>
  </si>
  <si>
    <t>Benton</t>
  </si>
  <si>
    <t>Boone</t>
  </si>
  <si>
    <t>Bradley</t>
  </si>
  <si>
    <t>Calhoun</t>
  </si>
  <si>
    <t>Carroll</t>
  </si>
  <si>
    <t>Chicot</t>
  </si>
  <si>
    <t>Clark</t>
  </si>
  <si>
    <t>Clay</t>
  </si>
  <si>
    <t>Cleburne</t>
  </si>
  <si>
    <t>Cleveland</t>
  </si>
  <si>
    <t>Columbia</t>
  </si>
  <si>
    <t>Conway</t>
  </si>
  <si>
    <t>Craighead</t>
  </si>
  <si>
    <t>Crawford</t>
  </si>
  <si>
    <t>Crittenden</t>
  </si>
  <si>
    <t>Cross</t>
  </si>
  <si>
    <t>Dallas</t>
  </si>
  <si>
    <t>Desha</t>
  </si>
  <si>
    <t>Drew</t>
  </si>
  <si>
    <t>Faulkner</t>
  </si>
  <si>
    <t>Franklin</t>
  </si>
  <si>
    <t>Fulton</t>
  </si>
  <si>
    <t>Garland</t>
  </si>
  <si>
    <t>Grant</t>
  </si>
  <si>
    <t>Greene</t>
  </si>
  <si>
    <t>Hempstead</t>
  </si>
  <si>
    <t>Hot Spring</t>
  </si>
  <si>
    <t>Howard</t>
  </si>
  <si>
    <t>Independence</t>
  </si>
  <si>
    <t>Izard</t>
  </si>
  <si>
    <t>Jackson</t>
  </si>
  <si>
    <t>Jefferson</t>
  </si>
  <si>
    <t>Johnson</t>
  </si>
  <si>
    <t>Lafayette</t>
  </si>
  <si>
    <t>Lawrence</t>
  </si>
  <si>
    <t>Lee</t>
  </si>
  <si>
    <t>Lincoln</t>
  </si>
  <si>
    <t>Little River</t>
  </si>
  <si>
    <t>Logan</t>
  </si>
  <si>
    <t>Lonoke</t>
  </si>
  <si>
    <t>Madison</t>
  </si>
  <si>
    <t>Marion</t>
  </si>
  <si>
    <t>Miller</t>
  </si>
  <si>
    <t>Mississippi</t>
  </si>
  <si>
    <t>Monroe</t>
  </si>
  <si>
    <t>Montgomery</t>
  </si>
  <si>
    <t>Nevada</t>
  </si>
  <si>
    <t>Newton</t>
  </si>
  <si>
    <t>Ouachita</t>
  </si>
  <si>
    <t>Perry</t>
  </si>
  <si>
    <t>Phillips</t>
  </si>
  <si>
    <t>Pike</t>
  </si>
  <si>
    <t>Poinsett</t>
  </si>
  <si>
    <t>Polk</t>
  </si>
  <si>
    <t>Pope</t>
  </si>
  <si>
    <t>Prairie</t>
  </si>
  <si>
    <t>Pulaski</t>
  </si>
  <si>
    <t>Randolph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</si>
  <si>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</si>
  <si>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</si>
  <si>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</si>
  <si>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</si>
  <si>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</si>
  <si>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</si>
  <si>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</si>
  <si>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</si>
  <si>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</si>
  <si>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</si>
  <si>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Washington</t>
  </si>
  <si>
    <t>White</t>
  </si>
  <si>
    <t>Woodruff</t>
  </si>
  <si>
    <t>Yell</t>
  </si>
  <si>
    <t>Unemployment</t>
  </si>
  <si>
    <t>Risk_Score</t>
  </si>
  <si>
    <t>Risk_Level</t>
  </si>
  <si>
    <t>Children_in_Poverty_Percent</t>
  </si>
  <si>
    <t>Uninsured_Percent</t>
  </si>
  <si>
    <t>Poor_Mental_Health_Days</t>
  </si>
  <si>
    <t>Risk_Level_Score</t>
  </si>
  <si>
    <t>This dataset uses public health indicators to identify counties with higher service and funding needs.</t>
  </si>
  <si>
    <t>Designed for use in dashboards, program planning, and funding prioritization.</t>
  </si>
  <si>
    <t>Risk Score Calculation</t>
  </si>
  <si>
    <t>Risk_Score = (Uninsured * 0.35) + (Poverty * 0.35) + (Mental Health Days * 2) + (Unemployment * 0.20)</t>
  </si>
  <si>
    <t>Risk Levels: HIGH ≥ 29 | MODERATE 24–28.9 | LOW &lt; 24</t>
  </si>
  <si>
    <t>Column Name</t>
  </si>
  <si>
    <t>Description</t>
  </si>
  <si>
    <t>Data Type</t>
  </si>
  <si>
    <t>Why It Matters</t>
  </si>
  <si>
    <t>Name of Arkansas county</t>
  </si>
  <si>
    <t>Text</t>
  </si>
  <si>
    <t>Geographic identifier</t>
  </si>
  <si>
    <t>% of population without insurance</t>
  </si>
  <si>
    <t>Numeric</t>
  </si>
  <si>
    <t>Indicates access to healthcare</t>
  </si>
  <si>
    <t>% of children living in poverty</t>
  </si>
  <si>
    <t>Key social determinant of health</t>
  </si>
  <si>
    <t>Avg poor mental health days per month</t>
  </si>
  <si>
    <t>Behavioral health burden</t>
  </si>
  <si>
    <t>% unemployed</t>
  </si>
  <si>
    <t>Economic stability indicator</t>
  </si>
  <si>
    <t>Weighted index of need</t>
  </si>
  <si>
    <t>Combines key indicators</t>
  </si>
  <si>
    <t>HIGH / MODERATE / LOW</t>
  </si>
  <si>
    <t>Decision category</t>
  </si>
  <si>
    <t>3 = High, 2 = Moderate, 1 = Low</t>
  </si>
  <si>
    <t>Used for sorting and visualization</t>
  </si>
  <si>
    <t>Arkansas Health Risk Dataset – Data Dictionary</t>
  </si>
  <si>
    <r>
      <rPr>
        <b/>
        <sz val="11"/>
        <color theme="1"/>
        <rFont val="Calibri"/>
        <family val="2"/>
        <scheme val="minor"/>
      </rPr>
      <t>Data Source</t>
    </r>
    <r>
      <rPr>
        <sz val="11"/>
        <color theme="1"/>
        <rFont val="Calibri"/>
        <family val="2"/>
        <scheme val="minor"/>
      </rPr>
      <t xml:space="preserve">: County Health Rankings &amp; Roadmaps (Arkansas Data) </t>
    </r>
  </si>
  <si>
    <r>
      <rPr>
        <b/>
        <sz val="11"/>
        <color theme="1"/>
        <rFont val="Calibri"/>
        <family val="2"/>
        <scheme val="minor"/>
      </rPr>
      <t>Created by</t>
    </r>
    <r>
      <rPr>
        <sz val="11"/>
        <color theme="1"/>
        <rFont val="Calibri"/>
        <family val="2"/>
        <scheme val="minor"/>
      </rPr>
      <t>: LaTonya Bynum, MPH, MCHES</t>
    </r>
  </si>
  <si>
    <t>The County Health Rankings dataset provides county-level indicators on health outcomes, access to care, and social determinants of health.</t>
  </si>
  <si>
    <r>
      <rPr>
        <b/>
        <sz val="11"/>
        <color theme="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: This dataset is a simplified analytical model created for demonstration and educational purposes. </t>
    </r>
  </si>
  <si>
    <t>Data sourced from publicly available county-level health indicators used to support community health planning and funding decisions.</t>
  </si>
  <si>
    <r>
      <rPr>
        <b/>
        <sz val="11"/>
        <color theme="1"/>
        <rFont val="Calibri"/>
        <family val="2"/>
        <scheme val="minor"/>
      </rPr>
      <t>Use Cases</t>
    </r>
    <r>
      <rPr>
        <sz val="11"/>
        <color theme="1"/>
        <rFont val="Calibri"/>
        <family val="2"/>
        <scheme val="minor"/>
      </rPr>
      <t xml:space="preserve">: </t>
    </r>
  </si>
  <si>
    <t xml:space="preserve">* Identify high-need counties for program targeting </t>
  </si>
  <si>
    <t xml:space="preserve">* Support grant writing and funding proposals </t>
  </si>
  <si>
    <t xml:space="preserve">* Build Power BI dashboards for decision-making </t>
  </si>
  <si>
    <t>* Track community health trends over time</t>
  </si>
  <si>
    <t>https://www.countyhealthrankings.org/health-data/arkansas/data-and-resources</t>
  </si>
  <si>
    <t>The County Health Rankings dataset provides county-level indicators on health outcomes, access to care, and social determinants of health, commonly used for community health planning and funding decisions.</t>
  </si>
  <si>
    <r>
      <rPr>
        <b/>
        <sz val="11"/>
        <color theme="1"/>
        <rFont val="Calibri"/>
        <family val="2"/>
        <scheme val="minor"/>
      </rPr>
      <t>Description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</si>
  <si>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Source Link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</si>
  <si>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 xml:space="preserve">: </t>
    </r>
  </si>
  <si>
    <t>@SisSpeaksLife | Instagram | Linktree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</si>
</sst>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applyFont="1"/>
    <xf numFmtId="0" fontId="0" fillId="0" borderId="1" xfId="0" applyBorder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6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9AB52E-5511-4A8E-B656-F192453C2A5F}" name="Table3" displayName="Table3" ref="A12:D20" totalsRowShown="0" headerRowDxfId="5" dataDxfId="4">
  <autoFilter ref="A12:D20" xr:uid="{099AB52E-5511-4A8E-B656-F192453C2A5F}"/>
  <tableColumns count="4">
    <tableColumn id="1" xr3:uid="{B8BC5FAB-5E99-4C64-A7E5-54B5F90331C8}" name="Column Name" dataDxfId="3"/>
    <tableColumn id="2" xr3:uid="{90500131-436F-450B-8A1D-10B91F315C29}" name="Description" dataDxfId="2"/>
    <tableColumn id="3" xr3:uid="{02ED6621-0DCA-4262-B0B3-1A3EFE5FEBDB}" name="Data Type" dataDxfId="1"/>
    <tableColumn id="4" xr3:uid="{BC92D2C4-5D0D-412F-B6B3-ACA9FA61849B}" name="Why It Matt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linktr.ee/sisspeakslife" TargetMode="External"/><Relationship Id="rId1" Type="http://schemas.openxmlformats.org/officeDocument/2006/relationships/hyperlink" Target="https://www.countyhealthrankings.org/health-data/arkansas/data-and-resour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>
      <selection activeCell="H2" sqref="H2:H76"/>
    </sheetView>
  </sheetViews>
  <sheetFormatPr defaultRowHeight="14.4" x14ac:dyDescent="0.3"/>
  <cols>
    <col min="1" max="1" width="13.5546875" customWidth="1"/>
    <col min="2" max="6" width="19.109375" style="1" bestFit="1" customWidth="1"/>
    <col min="7" max="7" width="10.5546875" bestFit="1" customWidth="1"/>
    <col min="8" max="8" width="15.77734375" bestFit="1" customWidth="1"/>
  </cols>
  <sheetData>
    <row r="1" spans="1:8" x14ac:dyDescent="0.3">
      <c r="A1" t="s">
        <v>0</v>
      </c>
      <c r="B1" s="1" t="s">
        <v>80</v>
      </c>
      <c r="C1" s="1" t="s">
        <v>79</v>
      </c>
      <c r="D1" s="1" t="s">
        <v>81</v>
      </c>
      <c r="E1" s="1" t="s">
        <v>76</v>
      </c>
      <c r="F1" s="1" t="s">
        <v>77</v>
      </c>
      <c r="G1" t="s">
        <v>78</v>
      </c>
      <c r="H1" s="1" t="s">
        <v>82</v>
      </c>
    </row>
    <row r="2" spans="1:8" x14ac:dyDescent="0.3">
      <c r="A2" t="s">
        <v>1</v>
      </c>
      <c r="B2" s="1">
        <v>9.6346237494999993</v>
      </c>
      <c r="C2" s="1">
        <v>23.1</v>
      </c>
      <c r="D2" s="1">
        <v>6.6705969873999997</v>
      </c>
      <c r="E2" s="1">
        <v>2.6593406593000002</v>
      </c>
      <c r="F2" s="1">
        <f>IFERROR((B2*0.35)+(C2*0.35)+(D2*2)+(E2*0.2),"")</f>
        <v>25.330180418985002</v>
      </c>
      <c r="G2" t="str">
        <f>IF(F2&gt;=29,"HIGH",IF(F2&gt;=24,"MODERATE","LOW"))</f>
        <v>MODERATE</v>
      </c>
      <c r="H2">
        <f>IF(G2="HIGH",3,IF(G2="MODERATE",2,1))</f>
        <v>2</v>
      </c>
    </row>
    <row r="3" spans="1:8" x14ac:dyDescent="0.3">
      <c r="A3" t="s">
        <v>2</v>
      </c>
      <c r="B3" s="1">
        <v>12.086401571</v>
      </c>
      <c r="C3" s="1">
        <v>25.2</v>
      </c>
      <c r="D3" s="1">
        <v>6.5379921206000002</v>
      </c>
      <c r="E3" s="1">
        <v>5.6279069767000003</v>
      </c>
      <c r="F3" s="1">
        <f t="shared" ref="F3:F66" si="0">IFERROR((B3*0.35)+(C3*0.35)+(D3*2)+(E3*0.2),"")</f>
        <v>27.251806186389999</v>
      </c>
      <c r="G3" t="str">
        <f t="shared" ref="G3:G66" si="1">IF(F3&gt;=29,"HIGH",IF(F3&gt;=24,"MODERATE","LOW"))</f>
        <v>MODERATE</v>
      </c>
      <c r="H3">
        <f t="shared" ref="H3:H66" si="2">IF(G3="HIGH",3,IF(G3="MODERATE",2,1))</f>
        <v>2</v>
      </c>
    </row>
    <row r="4" spans="1:8" x14ac:dyDescent="0.3">
      <c r="A4" t="s">
        <v>3</v>
      </c>
      <c r="B4" s="1">
        <v>12.873142856999999</v>
      </c>
      <c r="C4" s="1">
        <v>20.6</v>
      </c>
      <c r="D4" s="1">
        <v>6.2214563209999998</v>
      </c>
      <c r="E4" s="1">
        <v>3.5820540283</v>
      </c>
      <c r="F4" s="1">
        <f t="shared" si="0"/>
        <v>24.874923447609998</v>
      </c>
      <c r="G4" t="str">
        <f t="shared" si="1"/>
        <v>MODERATE</v>
      </c>
      <c r="H4">
        <f t="shared" si="2"/>
        <v>2</v>
      </c>
    </row>
    <row r="5" spans="1:8" x14ac:dyDescent="0.3">
      <c r="A5" t="s">
        <v>4</v>
      </c>
      <c r="B5" s="1">
        <v>12.906608992000001</v>
      </c>
      <c r="C5" s="1">
        <v>9</v>
      </c>
      <c r="D5" s="1">
        <v>5.5722486629999999</v>
      </c>
      <c r="E5" s="1">
        <v>2.4426919304000001</v>
      </c>
      <c r="F5" s="1">
        <f t="shared" si="0"/>
        <v>19.300348859279996</v>
      </c>
      <c r="G5" t="str">
        <f t="shared" si="1"/>
        <v>LOW</v>
      </c>
      <c r="H5">
        <f t="shared" si="2"/>
        <v>1</v>
      </c>
    </row>
    <row r="6" spans="1:8" x14ac:dyDescent="0.3">
      <c r="A6" t="s">
        <v>5</v>
      </c>
      <c r="B6" s="1">
        <v>11.111622979</v>
      </c>
      <c r="C6" s="1">
        <v>18.7</v>
      </c>
      <c r="D6" s="1">
        <v>6.4717988902999997</v>
      </c>
      <c r="E6" s="1">
        <v>3.1297324583999999</v>
      </c>
      <c r="F6" s="1">
        <f t="shared" si="0"/>
        <v>24.003612314929999</v>
      </c>
      <c r="G6" t="str">
        <f t="shared" si="1"/>
        <v>MODERATE</v>
      </c>
      <c r="H6">
        <f t="shared" si="2"/>
        <v>2</v>
      </c>
    </row>
    <row r="7" spans="1:8" x14ac:dyDescent="0.3">
      <c r="A7" t="s">
        <v>6</v>
      </c>
      <c r="B7" s="1">
        <v>14.935180252</v>
      </c>
      <c r="C7" s="1">
        <v>28.7</v>
      </c>
      <c r="D7" s="1">
        <v>6.5140910167000001</v>
      </c>
      <c r="E7" s="1">
        <v>4.6321525886000003</v>
      </c>
      <c r="F7" s="1">
        <f t="shared" si="0"/>
        <v>29.226925639320001</v>
      </c>
      <c r="G7" t="str">
        <f t="shared" si="1"/>
        <v>HIGH</v>
      </c>
      <c r="H7">
        <f t="shared" si="2"/>
        <v>3</v>
      </c>
    </row>
    <row r="8" spans="1:8" x14ac:dyDescent="0.3">
      <c r="A8" t="s">
        <v>7</v>
      </c>
      <c r="B8" s="1">
        <v>11.558935361</v>
      </c>
      <c r="C8" s="1">
        <v>17.8</v>
      </c>
      <c r="D8" s="1">
        <v>6.3913020421000004</v>
      </c>
      <c r="E8" s="1">
        <v>2.9324266893000002</v>
      </c>
      <c r="F8" s="1">
        <f t="shared" si="0"/>
        <v>23.644716798409998</v>
      </c>
      <c r="G8" t="str">
        <f t="shared" si="1"/>
        <v>LOW</v>
      </c>
      <c r="H8">
        <f t="shared" si="2"/>
        <v>1</v>
      </c>
    </row>
    <row r="9" spans="1:8" x14ac:dyDescent="0.3">
      <c r="A9" t="s">
        <v>8</v>
      </c>
      <c r="B9" s="1">
        <v>17.152144815</v>
      </c>
      <c r="C9" s="1">
        <v>19.399999999999999</v>
      </c>
      <c r="D9" s="1">
        <v>6.2341039491999997</v>
      </c>
      <c r="E9" s="1">
        <v>2.9351979836000002</v>
      </c>
      <c r="F9" s="1">
        <f t="shared" si="0"/>
        <v>25.848498180369997</v>
      </c>
      <c r="G9" t="str">
        <f t="shared" si="1"/>
        <v>MODERATE</v>
      </c>
      <c r="H9">
        <f t="shared" si="2"/>
        <v>2</v>
      </c>
    </row>
    <row r="10" spans="1:8" x14ac:dyDescent="0.3">
      <c r="A10" t="s">
        <v>9</v>
      </c>
      <c r="B10" s="1">
        <v>12.706374086</v>
      </c>
      <c r="C10" s="1">
        <v>37.200000000000003</v>
      </c>
      <c r="D10" s="1">
        <v>6.6672351359000004</v>
      </c>
      <c r="E10" s="1">
        <v>5.7523675903000004</v>
      </c>
      <c r="F10" s="1">
        <f t="shared" si="0"/>
        <v>31.952174719960002</v>
      </c>
      <c r="G10" t="str">
        <f t="shared" si="1"/>
        <v>HIGH</v>
      </c>
      <c r="H10">
        <f t="shared" si="2"/>
        <v>3</v>
      </c>
    </row>
    <row r="11" spans="1:8" x14ac:dyDescent="0.3">
      <c r="A11" t="s">
        <v>10</v>
      </c>
      <c r="B11" s="1">
        <v>10.453958295</v>
      </c>
      <c r="C11" s="1">
        <v>20.399999999999999</v>
      </c>
      <c r="D11" s="1">
        <v>6.3880578881999996</v>
      </c>
      <c r="E11" s="1">
        <v>4.7182021413999999</v>
      </c>
      <c r="F11" s="1">
        <f t="shared" si="0"/>
        <v>24.518641607929997</v>
      </c>
      <c r="G11" t="str">
        <f t="shared" si="1"/>
        <v>MODERATE</v>
      </c>
      <c r="H11">
        <f t="shared" si="2"/>
        <v>2</v>
      </c>
    </row>
    <row r="12" spans="1:8" x14ac:dyDescent="0.3">
      <c r="A12" t="s">
        <v>11</v>
      </c>
      <c r="B12" s="1">
        <v>11.165644172</v>
      </c>
      <c r="C12" s="1">
        <v>22.3</v>
      </c>
      <c r="D12" s="1">
        <v>6.4207026732000001</v>
      </c>
      <c r="E12" s="1">
        <v>4.1256272067999999</v>
      </c>
      <c r="F12" s="1">
        <f t="shared" si="0"/>
        <v>25.379506247960002</v>
      </c>
      <c r="G12" t="str">
        <f t="shared" si="1"/>
        <v>MODERATE</v>
      </c>
      <c r="H12">
        <f t="shared" si="2"/>
        <v>2</v>
      </c>
    </row>
    <row r="13" spans="1:8" x14ac:dyDescent="0.3">
      <c r="A13" t="s">
        <v>12</v>
      </c>
      <c r="B13" s="1">
        <v>11.520804489</v>
      </c>
      <c r="C13" s="1">
        <v>20.6</v>
      </c>
      <c r="D13" s="1">
        <v>6.4026850612999997</v>
      </c>
      <c r="E13" s="1">
        <v>3.9350822588000001</v>
      </c>
      <c r="F13" s="1">
        <f t="shared" si="0"/>
        <v>24.834668145509998</v>
      </c>
      <c r="G13" t="str">
        <f t="shared" si="1"/>
        <v>MODERATE</v>
      </c>
      <c r="H13">
        <f t="shared" si="2"/>
        <v>2</v>
      </c>
    </row>
    <row r="14" spans="1:8" x14ac:dyDescent="0.3">
      <c r="A14" t="s">
        <v>13</v>
      </c>
      <c r="B14" s="1">
        <v>9.7514792899000007</v>
      </c>
      <c r="C14" s="1">
        <v>20.8</v>
      </c>
      <c r="D14" s="1">
        <v>6.8987509996999998</v>
      </c>
      <c r="E14" s="1">
        <v>3.4708578913000001</v>
      </c>
      <c r="F14" s="1">
        <f t="shared" si="0"/>
        <v>25.184691329124998</v>
      </c>
      <c r="G14" t="str">
        <f t="shared" si="1"/>
        <v>MODERATE</v>
      </c>
      <c r="H14">
        <f t="shared" si="2"/>
        <v>2</v>
      </c>
    </row>
    <row r="15" spans="1:8" x14ac:dyDescent="0.3">
      <c r="A15" t="s">
        <v>14</v>
      </c>
      <c r="B15" s="1">
        <v>10.371308017</v>
      </c>
      <c r="C15" s="1">
        <v>27.8</v>
      </c>
      <c r="D15" s="1">
        <v>6.2209780707000002</v>
      </c>
      <c r="E15" s="1">
        <v>4.2902784117000001</v>
      </c>
      <c r="F15" s="1">
        <f t="shared" si="0"/>
        <v>26.659969629690004</v>
      </c>
      <c r="G15" t="str">
        <f t="shared" si="1"/>
        <v>MODERATE</v>
      </c>
      <c r="H15">
        <f t="shared" si="2"/>
        <v>2</v>
      </c>
    </row>
    <row r="16" spans="1:8" x14ac:dyDescent="0.3">
      <c r="A16" t="s">
        <v>15</v>
      </c>
      <c r="B16" s="1">
        <v>10.626185958000001</v>
      </c>
      <c r="C16" s="1">
        <v>23</v>
      </c>
      <c r="D16" s="1">
        <v>6.4132522647999997</v>
      </c>
      <c r="E16" s="1">
        <v>3.7647341832999999</v>
      </c>
      <c r="F16" s="1">
        <f t="shared" si="0"/>
        <v>25.348616451559998</v>
      </c>
      <c r="G16" t="str">
        <f t="shared" si="1"/>
        <v>MODERATE</v>
      </c>
      <c r="H16">
        <f t="shared" si="2"/>
        <v>2</v>
      </c>
    </row>
    <row r="17" spans="1:8" x14ac:dyDescent="0.3">
      <c r="A17" t="s">
        <v>16</v>
      </c>
      <c r="B17" s="1">
        <v>11.854433531</v>
      </c>
      <c r="C17" s="1">
        <v>23.1</v>
      </c>
      <c r="D17" s="1">
        <v>6.4208733730000001</v>
      </c>
      <c r="E17" s="1">
        <v>2.7460273209000001</v>
      </c>
      <c r="F17" s="1">
        <f t="shared" si="0"/>
        <v>25.625003946030002</v>
      </c>
      <c r="G17" t="str">
        <f t="shared" si="1"/>
        <v>MODERATE</v>
      </c>
      <c r="H17">
        <f t="shared" si="2"/>
        <v>2</v>
      </c>
    </row>
    <row r="18" spans="1:8" x14ac:dyDescent="0.3">
      <c r="A18" t="s">
        <v>17</v>
      </c>
      <c r="B18" s="1">
        <v>11.179177371</v>
      </c>
      <c r="C18" s="1">
        <v>18.3</v>
      </c>
      <c r="D18" s="1">
        <v>6.3313812174999997</v>
      </c>
      <c r="E18" s="1">
        <v>3.3642603907000002</v>
      </c>
      <c r="F18" s="1">
        <f t="shared" si="0"/>
        <v>23.653326592990002</v>
      </c>
      <c r="G18" t="str">
        <f t="shared" si="1"/>
        <v>LOW</v>
      </c>
      <c r="H18">
        <f t="shared" si="2"/>
        <v>1</v>
      </c>
    </row>
    <row r="19" spans="1:8" x14ac:dyDescent="0.3">
      <c r="A19" t="s">
        <v>18</v>
      </c>
      <c r="B19" s="1">
        <v>11.304151624999999</v>
      </c>
      <c r="C19" s="1">
        <v>29.3</v>
      </c>
      <c r="D19" s="1">
        <v>6.4428305190000001</v>
      </c>
      <c r="E19" s="1">
        <v>4.2145593870000004</v>
      </c>
      <c r="F19" s="1">
        <f t="shared" si="0"/>
        <v>27.940025984149997</v>
      </c>
      <c r="G19" t="str">
        <f t="shared" si="1"/>
        <v>MODERATE</v>
      </c>
      <c r="H19">
        <f t="shared" si="2"/>
        <v>2</v>
      </c>
    </row>
    <row r="20" spans="1:8" x14ac:dyDescent="0.3">
      <c r="A20" t="s">
        <v>19</v>
      </c>
      <c r="B20" s="1">
        <v>12.519793096000001</v>
      </c>
      <c r="C20" s="1">
        <v>25.4</v>
      </c>
      <c r="D20" s="1">
        <v>6.7260716419</v>
      </c>
      <c r="E20" s="1">
        <v>3.4037558684999998</v>
      </c>
      <c r="F20" s="1">
        <f t="shared" si="0"/>
        <v>27.404822041099997</v>
      </c>
      <c r="G20" t="str">
        <f t="shared" si="1"/>
        <v>MODERATE</v>
      </c>
      <c r="H20">
        <f t="shared" si="2"/>
        <v>2</v>
      </c>
    </row>
    <row r="21" spans="1:8" x14ac:dyDescent="0.3">
      <c r="A21" t="s">
        <v>20</v>
      </c>
      <c r="B21" s="1">
        <v>10.500155328</v>
      </c>
      <c r="C21" s="1">
        <v>26.9</v>
      </c>
      <c r="D21" s="1">
        <v>6.1671832891999996</v>
      </c>
      <c r="E21" s="1">
        <v>3.9289761995000001</v>
      </c>
      <c r="F21" s="1">
        <f t="shared" si="0"/>
        <v>26.210216183099998</v>
      </c>
      <c r="G21" t="str">
        <f t="shared" si="1"/>
        <v>MODERATE</v>
      </c>
      <c r="H21">
        <f t="shared" si="2"/>
        <v>2</v>
      </c>
    </row>
    <row r="22" spans="1:8" x14ac:dyDescent="0.3">
      <c r="A22" t="s">
        <v>21</v>
      </c>
      <c r="B22" s="1">
        <v>12.711571675</v>
      </c>
      <c r="C22" s="1">
        <v>35.6</v>
      </c>
      <c r="D22" s="1">
        <v>6.9153880087999999</v>
      </c>
      <c r="E22" s="1">
        <v>4.6031096563</v>
      </c>
      <c r="F22" s="1">
        <f t="shared" si="0"/>
        <v>31.660448035110001</v>
      </c>
      <c r="G22" t="str">
        <f t="shared" si="1"/>
        <v>HIGH</v>
      </c>
      <c r="H22">
        <f t="shared" si="2"/>
        <v>3</v>
      </c>
    </row>
    <row r="23" spans="1:8" x14ac:dyDescent="0.3">
      <c r="A23" t="s">
        <v>22</v>
      </c>
      <c r="B23" s="1">
        <v>10.036213139999999</v>
      </c>
      <c r="C23" s="1">
        <v>27.8</v>
      </c>
      <c r="D23" s="1">
        <v>6.4345745109000001</v>
      </c>
      <c r="E23" s="1">
        <v>4.1525308725999999</v>
      </c>
      <c r="F23" s="1">
        <f t="shared" si="0"/>
        <v>26.942329795320003</v>
      </c>
      <c r="G23" t="str">
        <f t="shared" si="1"/>
        <v>MODERATE</v>
      </c>
      <c r="H23">
        <f t="shared" si="2"/>
        <v>2</v>
      </c>
    </row>
    <row r="24" spans="1:8" x14ac:dyDescent="0.3">
      <c r="A24" t="s">
        <v>23</v>
      </c>
      <c r="B24" s="1">
        <v>9.0267310788999993</v>
      </c>
      <c r="C24" s="1">
        <v>15.4</v>
      </c>
      <c r="D24" s="1">
        <v>6.6108090353</v>
      </c>
      <c r="E24" s="1">
        <v>2.8822561108000002</v>
      </c>
      <c r="F24" s="1">
        <f t="shared" si="0"/>
        <v>22.347425170375001</v>
      </c>
      <c r="G24" t="str">
        <f t="shared" si="1"/>
        <v>LOW</v>
      </c>
      <c r="H24">
        <f t="shared" si="2"/>
        <v>1</v>
      </c>
    </row>
    <row r="25" spans="1:8" x14ac:dyDescent="0.3">
      <c r="A25" t="s">
        <v>24</v>
      </c>
      <c r="B25" s="1">
        <v>11.396355582</v>
      </c>
      <c r="C25" s="1">
        <v>23.7</v>
      </c>
      <c r="D25" s="1">
        <v>6.7394818949999999</v>
      </c>
      <c r="E25" s="1">
        <v>3.2149582997000001</v>
      </c>
      <c r="F25" s="1">
        <f t="shared" si="0"/>
        <v>26.405679903639999</v>
      </c>
      <c r="G25" t="str">
        <f t="shared" si="1"/>
        <v>MODERATE</v>
      </c>
      <c r="H25">
        <f t="shared" si="2"/>
        <v>2</v>
      </c>
    </row>
    <row r="26" spans="1:8" x14ac:dyDescent="0.3">
      <c r="A26" t="s">
        <v>25</v>
      </c>
      <c r="B26" s="1">
        <v>11.151681119999999</v>
      </c>
      <c r="C26" s="1">
        <v>24.9</v>
      </c>
      <c r="D26" s="1">
        <v>6.7750396508000001</v>
      </c>
      <c r="E26" s="1">
        <v>3.8470042007999998</v>
      </c>
      <c r="F26" s="1">
        <f t="shared" si="0"/>
        <v>26.937568533759997</v>
      </c>
      <c r="G26" t="str">
        <f t="shared" si="1"/>
        <v>MODERATE</v>
      </c>
      <c r="H26">
        <f t="shared" si="2"/>
        <v>2</v>
      </c>
    </row>
    <row r="27" spans="1:8" x14ac:dyDescent="0.3">
      <c r="A27" t="s">
        <v>26</v>
      </c>
      <c r="B27" s="1">
        <v>11.939594147999999</v>
      </c>
      <c r="C27" s="1">
        <v>29.4</v>
      </c>
      <c r="D27" s="1">
        <v>6.3364061806</v>
      </c>
      <c r="E27" s="1">
        <v>3.6901611739</v>
      </c>
      <c r="F27" s="1">
        <f t="shared" si="0"/>
        <v>27.879702547779999</v>
      </c>
      <c r="G27" t="str">
        <f t="shared" si="1"/>
        <v>MODERATE</v>
      </c>
      <c r="H27">
        <f t="shared" si="2"/>
        <v>2</v>
      </c>
    </row>
    <row r="28" spans="1:8" x14ac:dyDescent="0.3">
      <c r="A28" t="s">
        <v>27</v>
      </c>
      <c r="B28" s="1">
        <v>8.3279175563999992</v>
      </c>
      <c r="C28" s="1">
        <v>13.6</v>
      </c>
      <c r="D28" s="1">
        <v>6.1388800288000001</v>
      </c>
      <c r="E28" s="1">
        <v>2.8578066914</v>
      </c>
      <c r="F28" s="1">
        <f t="shared" si="0"/>
        <v>20.524092540619996</v>
      </c>
      <c r="G28" t="str">
        <f t="shared" si="1"/>
        <v>LOW</v>
      </c>
      <c r="H28">
        <f t="shared" si="2"/>
        <v>1</v>
      </c>
    </row>
    <row r="29" spans="1:8" x14ac:dyDescent="0.3">
      <c r="A29" t="s">
        <v>28</v>
      </c>
      <c r="B29" s="1">
        <v>9.4836092533999992</v>
      </c>
      <c r="C29" s="1">
        <v>19.100000000000001</v>
      </c>
      <c r="D29" s="1">
        <v>6.6090013579000004</v>
      </c>
      <c r="E29" s="1">
        <v>3.3108211039</v>
      </c>
      <c r="F29" s="1">
        <f t="shared" si="0"/>
        <v>23.884430175270001</v>
      </c>
      <c r="G29" t="str">
        <f t="shared" si="1"/>
        <v>LOW</v>
      </c>
      <c r="H29">
        <f t="shared" si="2"/>
        <v>1</v>
      </c>
    </row>
    <row r="30" spans="1:8" x14ac:dyDescent="0.3">
      <c r="A30" t="s">
        <v>29</v>
      </c>
      <c r="B30" s="1">
        <v>13.390020557</v>
      </c>
      <c r="C30" s="1">
        <v>25.8</v>
      </c>
      <c r="D30" s="1">
        <v>6.5288329625000001</v>
      </c>
      <c r="E30" s="1">
        <v>3.3694344163999999</v>
      </c>
      <c r="F30" s="1">
        <f t="shared" si="0"/>
        <v>27.448060003230001</v>
      </c>
      <c r="G30" t="str">
        <f t="shared" si="1"/>
        <v>MODERATE</v>
      </c>
      <c r="H30">
        <f t="shared" si="2"/>
        <v>2</v>
      </c>
    </row>
    <row r="31" spans="1:8" x14ac:dyDescent="0.3">
      <c r="A31" t="s">
        <v>30</v>
      </c>
      <c r="B31" s="1">
        <v>10.111240245999999</v>
      </c>
      <c r="C31" s="1">
        <v>21.7</v>
      </c>
      <c r="D31" s="1">
        <v>6.1981566373000003</v>
      </c>
      <c r="E31" s="1">
        <v>3.5464098073999999</v>
      </c>
      <c r="F31" s="1">
        <f t="shared" si="0"/>
        <v>24.239529322179997</v>
      </c>
      <c r="G31" t="str">
        <f t="shared" si="1"/>
        <v>MODERATE</v>
      </c>
      <c r="H31">
        <f t="shared" si="2"/>
        <v>2</v>
      </c>
    </row>
    <row r="32" spans="1:8" x14ac:dyDescent="0.3">
      <c r="A32" t="s">
        <v>31</v>
      </c>
      <c r="B32" s="1">
        <v>12.876712329</v>
      </c>
      <c r="C32" s="1">
        <v>22.5</v>
      </c>
      <c r="D32" s="1">
        <v>6.1036411478000003</v>
      </c>
      <c r="E32" s="1">
        <v>3.4502478078999999</v>
      </c>
      <c r="F32" s="1">
        <f t="shared" si="0"/>
        <v>25.279181172330002</v>
      </c>
      <c r="G32" t="str">
        <f t="shared" si="1"/>
        <v>MODERATE</v>
      </c>
      <c r="H32">
        <f t="shared" si="2"/>
        <v>2</v>
      </c>
    </row>
    <row r="33" spans="1:8" x14ac:dyDescent="0.3">
      <c r="A33" t="s">
        <v>32</v>
      </c>
      <c r="B33" s="1">
        <v>11.619109887</v>
      </c>
      <c r="C33" s="1">
        <v>18.100000000000001</v>
      </c>
      <c r="D33" s="1">
        <v>6.6205426687999998</v>
      </c>
      <c r="E33" s="1">
        <v>3.4097659499000001</v>
      </c>
      <c r="F33" s="1">
        <f t="shared" si="0"/>
        <v>24.324726988030001</v>
      </c>
      <c r="G33" t="str">
        <f t="shared" si="1"/>
        <v>MODERATE</v>
      </c>
      <c r="H33">
        <f t="shared" si="2"/>
        <v>2</v>
      </c>
    </row>
    <row r="34" spans="1:8" x14ac:dyDescent="0.3">
      <c r="A34" t="s">
        <v>33</v>
      </c>
      <c r="B34" s="1">
        <v>12.317210349</v>
      </c>
      <c r="C34" s="1">
        <v>23.9</v>
      </c>
      <c r="D34" s="1">
        <v>6.4214046702000003</v>
      </c>
      <c r="E34" s="1">
        <v>5.0938337801999998</v>
      </c>
      <c r="F34" s="1">
        <f t="shared" si="0"/>
        <v>26.537599718590002</v>
      </c>
      <c r="G34" t="str">
        <f t="shared" si="1"/>
        <v>MODERATE</v>
      </c>
      <c r="H34">
        <f t="shared" si="2"/>
        <v>2</v>
      </c>
    </row>
    <row r="35" spans="1:8" x14ac:dyDescent="0.3">
      <c r="A35" t="s">
        <v>34</v>
      </c>
      <c r="B35" s="1">
        <v>11.048968432000001</v>
      </c>
      <c r="C35" s="1">
        <v>32</v>
      </c>
      <c r="D35" s="1">
        <v>6.5999666955</v>
      </c>
      <c r="E35" s="1">
        <v>5.1067780873000004</v>
      </c>
      <c r="F35" s="1">
        <f t="shared" si="0"/>
        <v>29.288427959659998</v>
      </c>
      <c r="G35" t="str">
        <f t="shared" si="1"/>
        <v>HIGH</v>
      </c>
      <c r="H35">
        <f t="shared" si="2"/>
        <v>3</v>
      </c>
    </row>
    <row r="36" spans="1:8" x14ac:dyDescent="0.3">
      <c r="A36" t="s">
        <v>35</v>
      </c>
      <c r="B36" s="1">
        <v>9.3076640548</v>
      </c>
      <c r="C36" s="1">
        <v>32</v>
      </c>
      <c r="D36" s="1">
        <v>6.4308613945999999</v>
      </c>
      <c r="E36" s="1">
        <v>4.6126552336</v>
      </c>
      <c r="F36" s="1">
        <f t="shared" si="0"/>
        <v>28.241936255099997</v>
      </c>
      <c r="G36" t="str">
        <f t="shared" si="1"/>
        <v>MODERATE</v>
      </c>
      <c r="H36">
        <f t="shared" si="2"/>
        <v>2</v>
      </c>
    </row>
    <row r="37" spans="1:8" x14ac:dyDescent="0.3">
      <c r="A37" t="s">
        <v>36</v>
      </c>
      <c r="B37" s="1">
        <v>14.251925935999999</v>
      </c>
      <c r="C37" s="1">
        <v>19.600000000000001</v>
      </c>
      <c r="D37" s="1">
        <v>6.5589110776000004</v>
      </c>
      <c r="E37" s="1">
        <v>4.3659254747</v>
      </c>
      <c r="F37" s="1">
        <f t="shared" si="0"/>
        <v>25.83918132774</v>
      </c>
      <c r="G37" t="str">
        <f t="shared" si="1"/>
        <v>MODERATE</v>
      </c>
      <c r="H37">
        <f t="shared" si="2"/>
        <v>2</v>
      </c>
    </row>
    <row r="38" spans="1:8" x14ac:dyDescent="0.3">
      <c r="A38" t="s">
        <v>37</v>
      </c>
      <c r="B38" s="1">
        <v>13.662013662</v>
      </c>
      <c r="C38" s="1">
        <v>30.6</v>
      </c>
      <c r="D38" s="1">
        <v>6.5639345556000004</v>
      </c>
      <c r="E38" s="1">
        <v>4.8614266242999999</v>
      </c>
      <c r="F38" s="1">
        <f t="shared" si="0"/>
        <v>29.59185921776</v>
      </c>
      <c r="G38" t="str">
        <f t="shared" si="1"/>
        <v>HIGH</v>
      </c>
      <c r="H38">
        <f t="shared" si="2"/>
        <v>3</v>
      </c>
    </row>
    <row r="39" spans="1:8" x14ac:dyDescent="0.3">
      <c r="A39" t="s">
        <v>38</v>
      </c>
      <c r="B39" s="1">
        <v>10.823452627</v>
      </c>
      <c r="C39" s="1">
        <v>24.5</v>
      </c>
      <c r="D39" s="1">
        <v>6.9044557077000004</v>
      </c>
      <c r="E39" s="1">
        <v>3.3560023655000002</v>
      </c>
      <c r="F39" s="1">
        <f t="shared" si="0"/>
        <v>26.843320307950002</v>
      </c>
      <c r="G39" t="str">
        <f t="shared" si="1"/>
        <v>MODERATE</v>
      </c>
      <c r="H39">
        <f t="shared" si="2"/>
        <v>2</v>
      </c>
    </row>
    <row r="40" spans="1:8" x14ac:dyDescent="0.3">
      <c r="A40" t="s">
        <v>39</v>
      </c>
      <c r="B40" s="1">
        <v>12.106606181</v>
      </c>
      <c r="C40" s="1">
        <v>46.1</v>
      </c>
      <c r="D40" s="1">
        <v>6.4909721180000002</v>
      </c>
      <c r="E40" s="1">
        <v>5.1825677267000003</v>
      </c>
      <c r="F40" s="1">
        <f t="shared" si="0"/>
        <v>34.390769944689993</v>
      </c>
      <c r="G40" t="str">
        <f t="shared" si="1"/>
        <v>HIGH</v>
      </c>
      <c r="H40">
        <f t="shared" si="2"/>
        <v>3</v>
      </c>
    </row>
    <row r="41" spans="1:8" x14ac:dyDescent="0.3">
      <c r="A41" t="s">
        <v>40</v>
      </c>
      <c r="B41" s="1">
        <v>11.804482225999999</v>
      </c>
      <c r="C41" s="1">
        <v>24.8</v>
      </c>
      <c r="D41" s="1">
        <v>6.0802931527000004</v>
      </c>
      <c r="E41" s="1">
        <v>3.9923434509</v>
      </c>
      <c r="F41" s="1">
        <f t="shared" si="0"/>
        <v>25.770623774680004</v>
      </c>
      <c r="G41" t="str">
        <f t="shared" si="1"/>
        <v>MODERATE</v>
      </c>
      <c r="H41">
        <f t="shared" si="2"/>
        <v>2</v>
      </c>
    </row>
    <row r="42" spans="1:8" x14ac:dyDescent="0.3">
      <c r="A42" t="s">
        <v>41</v>
      </c>
      <c r="B42" s="1">
        <v>9.2439500977000009</v>
      </c>
      <c r="C42" s="1">
        <v>25.3</v>
      </c>
      <c r="D42" s="1">
        <v>6.1959839168000004</v>
      </c>
      <c r="E42" s="1">
        <v>3.4849951597</v>
      </c>
      <c r="F42" s="1">
        <f t="shared" si="0"/>
        <v>25.179349399734999</v>
      </c>
      <c r="G42" t="str">
        <f t="shared" si="1"/>
        <v>MODERATE</v>
      </c>
      <c r="H42">
        <f t="shared" si="2"/>
        <v>2</v>
      </c>
    </row>
    <row r="43" spans="1:8" x14ac:dyDescent="0.3">
      <c r="A43" t="s">
        <v>42</v>
      </c>
      <c r="B43" s="1">
        <v>10.27550857</v>
      </c>
      <c r="C43" s="1">
        <v>22.5</v>
      </c>
      <c r="D43" s="1">
        <v>6.5369059050000002</v>
      </c>
      <c r="E43" s="1">
        <v>4.0024183796999999</v>
      </c>
      <c r="F43" s="1">
        <f t="shared" si="0"/>
        <v>25.345723485439997</v>
      </c>
      <c r="G43" t="str">
        <f t="shared" si="1"/>
        <v>MODERATE</v>
      </c>
      <c r="H43">
        <f t="shared" si="2"/>
        <v>2</v>
      </c>
    </row>
    <row r="44" spans="1:8" x14ac:dyDescent="0.3">
      <c r="A44" t="s">
        <v>43</v>
      </c>
      <c r="B44" s="1">
        <v>10.123391850999999</v>
      </c>
      <c r="C44" s="1">
        <v>11.8</v>
      </c>
      <c r="D44" s="1">
        <v>5.7600405983999998</v>
      </c>
      <c r="E44" s="1">
        <v>2.7376447654999998</v>
      </c>
      <c r="F44" s="1">
        <f t="shared" si="0"/>
        <v>19.740797297749999</v>
      </c>
      <c r="G44" t="str">
        <f t="shared" si="1"/>
        <v>LOW</v>
      </c>
      <c r="H44">
        <f t="shared" si="2"/>
        <v>1</v>
      </c>
    </row>
    <row r="45" spans="1:8" x14ac:dyDescent="0.3">
      <c r="A45" t="s">
        <v>44</v>
      </c>
      <c r="B45" s="1">
        <v>12.065850231000001</v>
      </c>
      <c r="C45" s="1">
        <v>20.5</v>
      </c>
      <c r="D45" s="1">
        <v>6.4104175311000002</v>
      </c>
      <c r="E45" s="1">
        <v>2.5511492801000002</v>
      </c>
      <c r="F45" s="1">
        <f t="shared" si="0"/>
        <v>24.729112499070002</v>
      </c>
      <c r="G45" t="str">
        <f t="shared" si="1"/>
        <v>MODERATE</v>
      </c>
      <c r="H45">
        <f t="shared" si="2"/>
        <v>2</v>
      </c>
    </row>
    <row r="46" spans="1:8" x14ac:dyDescent="0.3">
      <c r="A46" t="s">
        <v>45</v>
      </c>
      <c r="B46" s="1">
        <v>11.630735212999999</v>
      </c>
      <c r="C46" s="1">
        <v>26</v>
      </c>
      <c r="D46" s="1">
        <v>6.3886196785999996</v>
      </c>
      <c r="E46" s="1">
        <v>4.1157024793000003</v>
      </c>
      <c r="F46" s="1">
        <f t="shared" si="0"/>
        <v>26.771137177609997</v>
      </c>
      <c r="G46" t="str">
        <f t="shared" si="1"/>
        <v>MODERATE</v>
      </c>
      <c r="H46">
        <f t="shared" si="2"/>
        <v>2</v>
      </c>
    </row>
    <row r="47" spans="1:8" x14ac:dyDescent="0.3">
      <c r="A47" t="s">
        <v>46</v>
      </c>
      <c r="B47" s="1">
        <v>10.564967037000001</v>
      </c>
      <c r="C47" s="1">
        <v>27.3</v>
      </c>
      <c r="D47" s="1">
        <v>6.2734570904</v>
      </c>
      <c r="E47" s="1">
        <v>3.6387055225</v>
      </c>
      <c r="F47" s="1">
        <f t="shared" si="0"/>
        <v>26.527393748250002</v>
      </c>
      <c r="G47" t="str">
        <f t="shared" si="1"/>
        <v>MODERATE</v>
      </c>
      <c r="H47">
        <f t="shared" si="2"/>
        <v>2</v>
      </c>
    </row>
    <row r="48" spans="1:8" x14ac:dyDescent="0.3">
      <c r="A48" t="s">
        <v>47</v>
      </c>
      <c r="B48" s="1">
        <v>10.338363054</v>
      </c>
      <c r="C48" s="1">
        <v>31.1</v>
      </c>
      <c r="D48" s="1">
        <v>6.7399036272000004</v>
      </c>
      <c r="E48" s="1">
        <v>4.9237005246000001</v>
      </c>
      <c r="F48" s="1">
        <f t="shared" si="0"/>
        <v>28.96797442822</v>
      </c>
      <c r="G48" t="str">
        <f t="shared" si="1"/>
        <v>MODERATE</v>
      </c>
      <c r="H48">
        <f t="shared" si="2"/>
        <v>2</v>
      </c>
    </row>
    <row r="49" spans="1:8" x14ac:dyDescent="0.3">
      <c r="A49" t="s">
        <v>48</v>
      </c>
      <c r="B49" s="1">
        <v>13.084386945</v>
      </c>
      <c r="C49" s="1">
        <v>38.1</v>
      </c>
      <c r="D49" s="1">
        <v>6.7407631003999997</v>
      </c>
      <c r="E49" s="1">
        <v>3.9350912778999998</v>
      </c>
      <c r="F49" s="1">
        <f t="shared" si="0"/>
        <v>32.183079887129999</v>
      </c>
      <c r="G49" t="str">
        <f t="shared" si="1"/>
        <v>HIGH</v>
      </c>
      <c r="H49">
        <f t="shared" si="2"/>
        <v>3</v>
      </c>
    </row>
    <row r="50" spans="1:8" x14ac:dyDescent="0.3">
      <c r="A50" t="s">
        <v>49</v>
      </c>
      <c r="B50" s="1">
        <v>15.604348753</v>
      </c>
      <c r="C50" s="1">
        <v>28.4</v>
      </c>
      <c r="D50" s="1">
        <v>6.4876232379000003</v>
      </c>
      <c r="E50" s="1">
        <v>4.9050086355999998</v>
      </c>
      <c r="F50" s="1">
        <f t="shared" si="0"/>
        <v>29.357770266469998</v>
      </c>
      <c r="G50" t="str">
        <f t="shared" si="1"/>
        <v>HIGH</v>
      </c>
      <c r="H50">
        <f t="shared" si="2"/>
        <v>3</v>
      </c>
    </row>
    <row r="51" spans="1:8" x14ac:dyDescent="0.3">
      <c r="A51" t="s">
        <v>50</v>
      </c>
      <c r="B51" s="1">
        <v>8.7921847247000002</v>
      </c>
      <c r="C51" s="1">
        <v>31</v>
      </c>
      <c r="D51" s="1">
        <v>6.4863304982000001</v>
      </c>
      <c r="E51" s="1">
        <v>3.6661698957</v>
      </c>
      <c r="F51" s="1">
        <f t="shared" si="0"/>
        <v>27.633159629184998</v>
      </c>
      <c r="G51" t="str">
        <f t="shared" si="1"/>
        <v>MODERATE</v>
      </c>
      <c r="H51">
        <f t="shared" si="2"/>
        <v>2</v>
      </c>
    </row>
    <row r="52" spans="1:8" x14ac:dyDescent="0.3">
      <c r="A52" t="s">
        <v>51</v>
      </c>
      <c r="B52" s="1">
        <v>10.748510748999999</v>
      </c>
      <c r="C52" s="1">
        <v>27.1</v>
      </c>
      <c r="D52" s="1">
        <v>6.5725347424000002</v>
      </c>
      <c r="E52" s="1">
        <v>3.3845189595999998</v>
      </c>
      <c r="F52" s="1">
        <f t="shared" si="0"/>
        <v>27.068952038869998</v>
      </c>
      <c r="G52" t="str">
        <f t="shared" si="1"/>
        <v>MODERATE</v>
      </c>
      <c r="H52">
        <f t="shared" si="2"/>
        <v>2</v>
      </c>
    </row>
    <row r="53" spans="1:8" x14ac:dyDescent="0.3">
      <c r="A53" t="s">
        <v>52</v>
      </c>
      <c r="B53" s="1">
        <v>9.3140495867999995</v>
      </c>
      <c r="C53" s="1">
        <v>25.3</v>
      </c>
      <c r="D53" s="1">
        <v>6.7160314447999996</v>
      </c>
      <c r="E53" s="1">
        <v>3.8633295254000002</v>
      </c>
      <c r="F53" s="1">
        <f t="shared" si="0"/>
        <v>26.319646150059999</v>
      </c>
      <c r="G53" t="str">
        <f t="shared" si="1"/>
        <v>MODERATE</v>
      </c>
      <c r="H53">
        <f t="shared" si="2"/>
        <v>2</v>
      </c>
    </row>
    <row r="54" spans="1:8" x14ac:dyDescent="0.3">
      <c r="A54" t="s">
        <v>53</v>
      </c>
      <c r="B54" s="1">
        <v>10.366689513000001</v>
      </c>
      <c r="C54" s="1">
        <v>20.9</v>
      </c>
      <c r="D54" s="1">
        <v>6.6606868381000002</v>
      </c>
      <c r="E54" s="1">
        <v>3.6038130666999999</v>
      </c>
      <c r="F54" s="1">
        <f t="shared" si="0"/>
        <v>24.985477619089998</v>
      </c>
      <c r="G54" t="str">
        <f t="shared" si="1"/>
        <v>MODERATE</v>
      </c>
      <c r="H54">
        <f t="shared" si="2"/>
        <v>2</v>
      </c>
    </row>
    <row r="55" spans="1:8" x14ac:dyDescent="0.3">
      <c r="A55" t="s">
        <v>54</v>
      </c>
      <c r="B55" s="1">
        <v>10.667506296999999</v>
      </c>
      <c r="C55" s="1">
        <v>45.2</v>
      </c>
      <c r="D55" s="1">
        <v>6.7988218786000001</v>
      </c>
      <c r="E55" s="1">
        <v>6.4885496183000004</v>
      </c>
      <c r="F55" s="1">
        <f t="shared" si="0"/>
        <v>34.448980884810005</v>
      </c>
      <c r="G55" t="str">
        <f t="shared" si="1"/>
        <v>HIGH</v>
      </c>
      <c r="H55">
        <f t="shared" si="2"/>
        <v>3</v>
      </c>
    </row>
    <row r="56" spans="1:8" x14ac:dyDescent="0.3">
      <c r="A56" t="s">
        <v>55</v>
      </c>
      <c r="B56" s="1">
        <v>12.981779958000001</v>
      </c>
      <c r="C56" s="1">
        <v>27.2</v>
      </c>
      <c r="D56" s="1">
        <v>6.3802968584000004</v>
      </c>
      <c r="E56" s="1">
        <v>3.4551329853000001</v>
      </c>
      <c r="F56" s="1">
        <f t="shared" si="0"/>
        <v>27.515243299160002</v>
      </c>
      <c r="G56" t="str">
        <f t="shared" si="1"/>
        <v>MODERATE</v>
      </c>
      <c r="H56">
        <f t="shared" si="2"/>
        <v>2</v>
      </c>
    </row>
    <row r="57" spans="1:8" x14ac:dyDescent="0.3">
      <c r="A57" t="s">
        <v>56</v>
      </c>
      <c r="B57" s="1">
        <v>11.074111361</v>
      </c>
      <c r="C57" s="1">
        <v>27.1</v>
      </c>
      <c r="D57" s="1">
        <v>7.0117749484000003</v>
      </c>
      <c r="E57" s="1">
        <v>3.3276192397000002</v>
      </c>
      <c r="F57" s="1">
        <f t="shared" si="0"/>
        <v>28.050012721089999</v>
      </c>
      <c r="G57" t="str">
        <f t="shared" si="1"/>
        <v>MODERATE</v>
      </c>
      <c r="H57">
        <f t="shared" si="2"/>
        <v>2</v>
      </c>
    </row>
    <row r="58" spans="1:8" x14ac:dyDescent="0.3">
      <c r="A58" t="s">
        <v>57</v>
      </c>
      <c r="B58" s="1">
        <v>13.874197204</v>
      </c>
      <c r="C58" s="1">
        <v>26.2</v>
      </c>
      <c r="D58" s="1">
        <v>6.5735550129</v>
      </c>
      <c r="E58" s="1">
        <v>3.6286157024999999</v>
      </c>
      <c r="F58" s="1">
        <f t="shared" si="0"/>
        <v>27.898802187699999</v>
      </c>
      <c r="G58" t="str">
        <f t="shared" si="1"/>
        <v>MODERATE</v>
      </c>
      <c r="H58">
        <f t="shared" si="2"/>
        <v>2</v>
      </c>
    </row>
    <row r="59" spans="1:8" x14ac:dyDescent="0.3">
      <c r="A59" t="s">
        <v>58</v>
      </c>
      <c r="B59" s="1">
        <v>13.114843198000001</v>
      </c>
      <c r="C59" s="1">
        <v>16</v>
      </c>
      <c r="D59" s="1">
        <v>6.3660140121</v>
      </c>
      <c r="E59" s="1">
        <v>3.8626007710999999</v>
      </c>
      <c r="F59" s="1">
        <f t="shared" si="0"/>
        <v>23.694743297719999</v>
      </c>
      <c r="G59" t="str">
        <f t="shared" si="1"/>
        <v>LOW</v>
      </c>
      <c r="H59">
        <f t="shared" si="2"/>
        <v>1</v>
      </c>
    </row>
    <row r="60" spans="1:8" x14ac:dyDescent="0.3">
      <c r="A60" t="s">
        <v>59</v>
      </c>
      <c r="B60" s="1">
        <v>10.177595628000001</v>
      </c>
      <c r="C60" s="1">
        <v>22.4</v>
      </c>
      <c r="D60" s="1">
        <v>6.2306286863000002</v>
      </c>
      <c r="E60" s="1">
        <v>3.0948324815000001</v>
      </c>
      <c r="F60" s="1">
        <f t="shared" si="0"/>
        <v>24.482382338700003</v>
      </c>
      <c r="G60" t="str">
        <f t="shared" si="1"/>
        <v>MODERATE</v>
      </c>
      <c r="H60">
        <f t="shared" si="2"/>
        <v>2</v>
      </c>
    </row>
    <row r="61" spans="1:8" x14ac:dyDescent="0.3">
      <c r="A61" t="s">
        <v>60</v>
      </c>
      <c r="B61" s="1">
        <v>10.641632272000001</v>
      </c>
      <c r="C61" s="1">
        <v>23.7</v>
      </c>
      <c r="D61" s="1">
        <v>6.3754230841000004</v>
      </c>
      <c r="E61" s="1">
        <v>3.1937544357999998</v>
      </c>
      <c r="F61" s="1">
        <f t="shared" si="0"/>
        <v>25.409168350560002</v>
      </c>
      <c r="G61" t="str">
        <f t="shared" si="1"/>
        <v>MODERATE</v>
      </c>
      <c r="H61">
        <f t="shared" si="2"/>
        <v>2</v>
      </c>
    </row>
    <row r="62" spans="1:8" x14ac:dyDescent="0.3">
      <c r="A62" t="s">
        <v>61</v>
      </c>
      <c r="B62" s="1">
        <v>12.439739105999999</v>
      </c>
      <c r="C62" s="1">
        <v>23.6</v>
      </c>
      <c r="D62" s="1">
        <v>6.739352566</v>
      </c>
      <c r="E62" s="1">
        <v>3.5477031802000001</v>
      </c>
      <c r="F62" s="1">
        <f t="shared" si="0"/>
        <v>26.802154455140002</v>
      </c>
      <c r="G62" t="str">
        <f t="shared" si="1"/>
        <v>MODERATE</v>
      </c>
      <c r="H62">
        <f t="shared" si="2"/>
        <v>2</v>
      </c>
    </row>
    <row r="63" spans="1:8" x14ac:dyDescent="0.3">
      <c r="A63" t="s">
        <v>62</v>
      </c>
      <c r="B63" s="1">
        <v>13.477167183000001</v>
      </c>
      <c r="C63" s="1">
        <v>45.6</v>
      </c>
      <c r="D63" s="1">
        <v>6.5468891302000003</v>
      </c>
      <c r="E63" s="1">
        <v>4.9765258216000001</v>
      </c>
      <c r="F63" s="1">
        <f t="shared" si="0"/>
        <v>34.766091938770003</v>
      </c>
      <c r="G63" t="str">
        <f t="shared" si="1"/>
        <v>HIGH</v>
      </c>
      <c r="H63">
        <f t="shared" si="2"/>
        <v>3</v>
      </c>
    </row>
    <row r="64" spans="1:8" x14ac:dyDescent="0.3">
      <c r="A64" t="s">
        <v>63</v>
      </c>
      <c r="B64" s="1">
        <v>9.9505703933999996</v>
      </c>
      <c r="C64" s="1">
        <v>12.1</v>
      </c>
      <c r="D64" s="1">
        <v>5.7761068712999997</v>
      </c>
      <c r="E64" s="1">
        <v>2.7241418708</v>
      </c>
      <c r="F64" s="1">
        <f t="shared" si="0"/>
        <v>19.814741754450001</v>
      </c>
      <c r="G64" t="str">
        <f t="shared" si="1"/>
        <v>LOW</v>
      </c>
      <c r="H64">
        <f t="shared" si="2"/>
        <v>1</v>
      </c>
    </row>
    <row r="65" spans="1:8" x14ac:dyDescent="0.3">
      <c r="A65" t="s">
        <v>64</v>
      </c>
      <c r="B65" s="1">
        <v>10.988809393</v>
      </c>
      <c r="C65" s="1">
        <v>26.6</v>
      </c>
      <c r="D65" s="1">
        <v>6.3608523624000002</v>
      </c>
      <c r="E65" s="1">
        <v>3.0143868462999999</v>
      </c>
      <c r="F65" s="1">
        <f t="shared" si="0"/>
        <v>26.480665381610002</v>
      </c>
      <c r="G65" t="str">
        <f t="shared" si="1"/>
        <v>MODERATE</v>
      </c>
      <c r="H65">
        <f t="shared" si="2"/>
        <v>2</v>
      </c>
    </row>
    <row r="66" spans="1:8" x14ac:dyDescent="0.3">
      <c r="A66" t="s">
        <v>65</v>
      </c>
      <c r="B66" s="1">
        <v>11.139357522999999</v>
      </c>
      <c r="C66" s="1">
        <v>28.1</v>
      </c>
      <c r="D66" s="1">
        <v>6.8887432018999997</v>
      </c>
      <c r="E66" s="1">
        <v>4.3478260869999996</v>
      </c>
      <c r="F66" s="1">
        <f t="shared" si="0"/>
        <v>28.380826754250002</v>
      </c>
      <c r="G66" t="str">
        <f t="shared" si="1"/>
        <v>MODERATE</v>
      </c>
      <c r="H66">
        <f t="shared" si="2"/>
        <v>2</v>
      </c>
    </row>
    <row r="67" spans="1:8" x14ac:dyDescent="0.3">
      <c r="A67" t="s">
        <v>66</v>
      </c>
      <c r="B67" s="1">
        <v>13.441079389</v>
      </c>
      <c r="C67" s="1">
        <v>17.7</v>
      </c>
      <c r="D67" s="1">
        <v>6.6273341960999996</v>
      </c>
      <c r="E67" s="1">
        <v>3.3983276933000002</v>
      </c>
      <c r="F67" s="1">
        <f t="shared" ref="F67:F76" si="3">IFERROR((B67*0.35)+(C67*0.35)+(D67*2)+(E67*0.2),"")</f>
        <v>24.833711717010001</v>
      </c>
      <c r="G67" t="str">
        <f t="shared" ref="G67:G76" si="4">IF(F67&gt;=29,"HIGH",IF(F67&gt;=24,"MODERATE","LOW"))</f>
        <v>MODERATE</v>
      </c>
      <c r="H67">
        <f t="shared" ref="H67:H76" si="5">IF(G67="HIGH",3,IF(G67="MODERATE",2,1))</f>
        <v>2</v>
      </c>
    </row>
    <row r="68" spans="1:8" x14ac:dyDescent="0.3">
      <c r="A68" t="s">
        <v>67</v>
      </c>
      <c r="B68" s="1">
        <v>19.827586207</v>
      </c>
      <c r="C68" s="1">
        <v>24.3</v>
      </c>
      <c r="D68" s="1">
        <v>6.2660147281</v>
      </c>
      <c r="E68" s="1">
        <v>3.7690751975999999</v>
      </c>
      <c r="F68" s="1">
        <f t="shared" si="3"/>
        <v>28.730499668169998</v>
      </c>
      <c r="G68" t="str">
        <f t="shared" si="4"/>
        <v>MODERATE</v>
      </c>
      <c r="H68">
        <f t="shared" si="5"/>
        <v>2</v>
      </c>
    </row>
    <row r="69" spans="1:8" x14ac:dyDescent="0.3">
      <c r="A69" t="s">
        <v>68</v>
      </c>
      <c r="B69" s="1">
        <v>13.212650853</v>
      </c>
      <c r="C69" s="1">
        <v>25.4</v>
      </c>
      <c r="D69" s="1">
        <v>6.5569772854000004</v>
      </c>
      <c r="E69" s="1">
        <v>3.9393939393999999</v>
      </c>
      <c r="F69" s="1">
        <f t="shared" si="3"/>
        <v>27.41626115723</v>
      </c>
      <c r="G69" t="str">
        <f t="shared" si="4"/>
        <v>MODERATE</v>
      </c>
      <c r="H69">
        <f t="shared" si="5"/>
        <v>2</v>
      </c>
    </row>
    <row r="70" spans="1:8" x14ac:dyDescent="0.3">
      <c r="A70" t="s">
        <v>69</v>
      </c>
      <c r="B70" s="1">
        <v>13.694074970000001</v>
      </c>
      <c r="C70" s="1">
        <v>26.3</v>
      </c>
      <c r="D70" s="1">
        <v>6.6571282540999999</v>
      </c>
      <c r="E70" s="1">
        <v>4.1171290181</v>
      </c>
      <c r="F70" s="1">
        <f t="shared" si="3"/>
        <v>28.135608551320001</v>
      </c>
      <c r="G70" t="str">
        <f t="shared" si="4"/>
        <v>MODERATE</v>
      </c>
      <c r="H70">
        <f t="shared" si="5"/>
        <v>2</v>
      </c>
    </row>
    <row r="71" spans="1:8" x14ac:dyDescent="0.3">
      <c r="A71" t="s">
        <v>70</v>
      </c>
      <c r="B71" s="1">
        <v>10.412610987000001</v>
      </c>
      <c r="C71" s="1">
        <v>24</v>
      </c>
      <c r="D71" s="1">
        <v>6.3105835531999999</v>
      </c>
      <c r="E71" s="1">
        <v>4.6369737645000004</v>
      </c>
      <c r="F71" s="1">
        <f t="shared" si="3"/>
        <v>25.592975704749996</v>
      </c>
      <c r="G71" t="str">
        <f t="shared" si="4"/>
        <v>MODERATE</v>
      </c>
      <c r="H71">
        <f t="shared" si="5"/>
        <v>2</v>
      </c>
    </row>
    <row r="72" spans="1:8" x14ac:dyDescent="0.3">
      <c r="A72" t="s">
        <v>71</v>
      </c>
      <c r="B72" s="1">
        <v>12.235374459000001</v>
      </c>
      <c r="C72" s="1">
        <v>23.8</v>
      </c>
      <c r="D72" s="1">
        <v>6.9064845289000001</v>
      </c>
      <c r="E72" s="1">
        <v>4.0235690236000003</v>
      </c>
      <c r="F72" s="1">
        <f t="shared" si="3"/>
        <v>27.230063923169997</v>
      </c>
      <c r="G72" t="str">
        <f t="shared" si="4"/>
        <v>MODERATE</v>
      </c>
      <c r="H72">
        <f t="shared" si="5"/>
        <v>2</v>
      </c>
    </row>
    <row r="73" spans="1:8" x14ac:dyDescent="0.3">
      <c r="A73" t="s">
        <v>72</v>
      </c>
      <c r="B73" s="1">
        <v>15.908960724</v>
      </c>
      <c r="C73" s="1">
        <v>13.5</v>
      </c>
      <c r="D73" s="1">
        <v>5.8729019911</v>
      </c>
      <c r="E73" s="1">
        <v>2.2912204001999998</v>
      </c>
      <c r="F73" s="1">
        <f t="shared" si="3"/>
        <v>22.497184315640002</v>
      </c>
      <c r="G73" t="str">
        <f t="shared" si="4"/>
        <v>LOW</v>
      </c>
      <c r="H73">
        <f t="shared" si="5"/>
        <v>1</v>
      </c>
    </row>
    <row r="74" spans="1:8" x14ac:dyDescent="0.3">
      <c r="A74" t="s">
        <v>73</v>
      </c>
      <c r="B74" s="1">
        <v>12.128233119000001</v>
      </c>
      <c r="C74" s="1">
        <v>19.600000000000001</v>
      </c>
      <c r="D74" s="1">
        <v>6.3123229221999999</v>
      </c>
      <c r="E74" s="1">
        <v>3.4693031792000002</v>
      </c>
      <c r="F74" s="1">
        <f t="shared" si="3"/>
        <v>24.423388071889999</v>
      </c>
      <c r="G74" t="str">
        <f t="shared" si="4"/>
        <v>MODERATE</v>
      </c>
      <c r="H74">
        <f t="shared" si="5"/>
        <v>2</v>
      </c>
    </row>
    <row r="75" spans="1:8" x14ac:dyDescent="0.3">
      <c r="A75" t="s">
        <v>74</v>
      </c>
      <c r="B75" s="1">
        <v>10.646269123</v>
      </c>
      <c r="C75" s="1">
        <v>34.799999999999997</v>
      </c>
      <c r="D75" s="1">
        <v>6.5276077460000002</v>
      </c>
      <c r="E75" s="1">
        <v>3.5525852971999998</v>
      </c>
      <c r="F75" s="1">
        <f t="shared" si="3"/>
        <v>29.671926744490001</v>
      </c>
      <c r="G75" t="str">
        <f t="shared" si="4"/>
        <v>HIGH</v>
      </c>
      <c r="H75">
        <f t="shared" si="5"/>
        <v>3</v>
      </c>
    </row>
    <row r="76" spans="1:8" x14ac:dyDescent="0.3">
      <c r="A76" t="s">
        <v>75</v>
      </c>
      <c r="B76" s="1">
        <v>14.527575886999999</v>
      </c>
      <c r="C76" s="1">
        <v>23</v>
      </c>
      <c r="D76" s="1">
        <v>6.6213958283999998</v>
      </c>
      <c r="E76" s="1">
        <v>3.6936715095000001</v>
      </c>
      <c r="F76" s="1">
        <f t="shared" si="3"/>
        <v>27.116177519149996</v>
      </c>
      <c r="G76" t="str">
        <f t="shared" si="4"/>
        <v>MODERATE</v>
      </c>
      <c r="H76">
        <f t="shared" si="5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1970-DDFE-4CB2-A138-4720E67A3A6E}">
  <dimension ref="A1:D41"/>
  <sheetViews>
    <sheetView tabSelected="1" workbookViewId="0">
      <selection activeCell="B8" sqref="B8"/>
    </sheetView>
  </sheetViews>
  <sheetFormatPr defaultRowHeight="14.4" x14ac:dyDescent="0.3"/>
  <cols>
    <col min="1" max="1" width="26.77734375" bestFit="1" customWidth="1"/>
    <col min="2" max="2" width="28.6640625" customWidth="1"/>
    <col min="3" max="3" width="9.44140625" customWidth="1"/>
    <col min="4" max="4" width="30.109375" bestFit="1" customWidth="1"/>
  </cols>
  <sheetData>
    <row r="1" spans="1:4" ht="18" x14ac:dyDescent="0.35">
      <c r="A1" s="3" t="s">
        <v>110</v>
      </c>
    </row>
    <row r="3" spans="1:4" x14ac:dyDescent="0.3">
      <c r="A3" t="s">
        <v>83</v>
      </c>
    </row>
    <row r="4" spans="1:4" x14ac:dyDescent="0.3">
      <c r="A4" t="s">
        <v>84</v>
      </c>
    </row>
    <row r="6" spans="1:4" x14ac:dyDescent="0.3">
      <c r="A6" s="2" t="s">
        <v>85</v>
      </c>
    </row>
    <row r="7" spans="1:4" x14ac:dyDescent="0.3">
      <c r="A7" t="s">
        <v>86</v>
      </c>
    </row>
    <row r="9" spans="1:4" x14ac:dyDescent="0.3">
      <c r="A9" t="s">
        <v>87</v>
      </c>
    </row>
    <row r="12" spans="1:4" s="4" customFormat="1" x14ac:dyDescent="0.3">
      <c r="A12" s="4" t="s">
        <v>88</v>
      </c>
      <c r="B12" s="4" t="s">
        <v>89</v>
      </c>
      <c r="C12" s="4" t="s">
        <v>90</v>
      </c>
      <c r="D12" s="4" t="s">
        <v>91</v>
      </c>
    </row>
    <row r="13" spans="1:4" x14ac:dyDescent="0.3">
      <c r="A13" s="5" t="s">
        <v>0</v>
      </c>
      <c r="B13" s="5" t="s">
        <v>92</v>
      </c>
      <c r="C13" s="5" t="s">
        <v>93</v>
      </c>
      <c r="D13" s="5" t="s">
        <v>94</v>
      </c>
    </row>
    <row r="14" spans="1:4" ht="28.8" x14ac:dyDescent="0.3">
      <c r="A14" s="5" t="s">
        <v>80</v>
      </c>
      <c r="B14" s="5" t="s">
        <v>95</v>
      </c>
      <c r="C14" s="5" t="s">
        <v>96</v>
      </c>
      <c r="D14" s="5" t="s">
        <v>97</v>
      </c>
    </row>
    <row r="15" spans="1:4" x14ac:dyDescent="0.3">
      <c r="A15" s="5" t="s">
        <v>79</v>
      </c>
      <c r="B15" s="5" t="s">
        <v>98</v>
      </c>
      <c r="C15" s="5" t="s">
        <v>96</v>
      </c>
      <c r="D15" s="5" t="s">
        <v>99</v>
      </c>
    </row>
    <row r="16" spans="1:4" ht="28.8" x14ac:dyDescent="0.3">
      <c r="A16" s="5" t="s">
        <v>81</v>
      </c>
      <c r="B16" s="5" t="s">
        <v>100</v>
      </c>
      <c r="C16" s="5" t="s">
        <v>96</v>
      </c>
      <c r="D16" s="5" t="s">
        <v>101</v>
      </c>
    </row>
    <row r="17" spans="1:4" x14ac:dyDescent="0.3">
      <c r="A17" s="5" t="s">
        <v>76</v>
      </c>
      <c r="B17" s="5" t="s">
        <v>102</v>
      </c>
      <c r="C17" s="5" t="s">
        <v>96</v>
      </c>
      <c r="D17" s="5" t="s">
        <v>103</v>
      </c>
    </row>
    <row r="18" spans="1:4" x14ac:dyDescent="0.3">
      <c r="A18" s="5" t="s">
        <v>77</v>
      </c>
      <c r="B18" s="5" t="s">
        <v>104</v>
      </c>
      <c r="C18" s="5" t="s">
        <v>96</v>
      </c>
      <c r="D18" s="5" t="s">
        <v>105</v>
      </c>
    </row>
    <row r="19" spans="1:4" x14ac:dyDescent="0.3">
      <c r="A19" s="5" t="s">
        <v>78</v>
      </c>
      <c r="B19" s="5" t="s">
        <v>106</v>
      </c>
      <c r="C19" s="5" t="s">
        <v>93</v>
      </c>
      <c r="D19" s="5" t="s">
        <v>107</v>
      </c>
    </row>
    <row r="20" spans="1:4" x14ac:dyDescent="0.3">
      <c r="A20" s="5" t="s">
        <v>82</v>
      </c>
      <c r="B20" s="5" t="s">
        <v>108</v>
      </c>
      <c r="C20" s="5" t="s">
        <v>96</v>
      </c>
      <c r="D20" s="5" t="s">
        <v>109</v>
      </c>
    </row>
    <row r="22" spans="1:4" x14ac:dyDescent="0.3">
      <c r="A22" t="s">
        <v>116</v>
      </c>
    </row>
    <row r="23" spans="1:4" x14ac:dyDescent="0.3">
      <c r="A23" t="s">
        <v>117</v>
      </c>
    </row>
    <row r="24" spans="1:4" x14ac:dyDescent="0.3">
      <c r="A24" t="s">
        <v>118</v>
      </c>
    </row>
    <row r="25" spans="1:4" x14ac:dyDescent="0.3">
      <c r="A25" t="s">
        <v>119</v>
      </c>
    </row>
    <row r="26" spans="1:4" x14ac:dyDescent="0.3">
      <c r="A26" t="s">
        <v>120</v>
      </c>
    </row>
    <row r="28" spans="1:4" x14ac:dyDescent="0.3">
      <c r="A28" t="s">
        <v>111</v>
      </c>
    </row>
    <row r="29" spans="1:4" x14ac:dyDescent="0.3">
      <c r="A29" t="s">
        <v>113</v>
      </c>
    </row>
    <row r="31" spans="1:4" x14ac:dyDescent="0.3">
      <c r="A31" t="s">
        <v>124</v>
      </c>
    </row>
    <row r="32" spans="1:4" x14ac:dyDescent="0.3">
      <c r="A32" s="6" t="s">
        <v>121</v>
      </c>
    </row>
    <row r="34" spans="1:1" x14ac:dyDescent="0.3">
      <c r="A34" t="s">
        <v>123</v>
      </c>
    </row>
    <row r="35" spans="1:1" x14ac:dyDescent="0.3">
      <c r="A35" t="s">
        <v>122</v>
      </c>
    </row>
    <row r="36" spans="1:1" x14ac:dyDescent="0.3">
      <c r="A36" t="s">
        <v>114</v>
      </c>
    </row>
    <row r="37" spans="1:1" x14ac:dyDescent="0.3">
      <c r="A37" s="2" t="s">
        <v>115</v>
      </c>
    </row>
    <row r="39" spans="1:1" x14ac:dyDescent="0.3">
      <c r="A39" t="s">
        <v>112</v>
      </c>
    </row>
    <row r="40" spans="1:1" x14ac:dyDescent="0.3">
      <c r="A40" t="s">
        <v>125</v>
      </c>
    </row>
    <row r="41" spans="1:1" x14ac:dyDescent="0.3">
      <c r="A41" s="6" t="s">
        <v>126</v>
      </c>
    </row>
  </sheetData>
  <hyperlinks>
    <hyperlink ref="A32" r:id="rId1" xr:uid="{A9447858-74E6-4B1C-9EE8-150588A763EC}"/>
    <hyperlink ref="A41" r:id="rId2" display="https://linktr.ee/sisspeakslife" xr:uid="{E4AFC87D-BF80-4D9C-A75D-E34954BE879C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Sample_Data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Latonya</dc:creator>
  <cp:lastModifiedBy>LaTonya Bynum, MPH, MCHES</cp:lastModifiedBy>
  <dcterms:created xsi:type="dcterms:W3CDTF">2015-06-05T18:17:20Z</dcterms:created>
  <dcterms:modified xsi:type="dcterms:W3CDTF">2026-05-09T14:52:42Z</dcterms:modified>
</cp:coreProperties>
</file>